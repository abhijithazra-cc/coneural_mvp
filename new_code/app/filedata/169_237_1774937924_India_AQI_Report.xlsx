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y AQI Data" sheetId="1" state="visible" r:id="rId3"/>
    <sheet name="AQI Scale &amp; Legend" sheetId="2" state="visible" r:id="rId4"/>
    <sheet name="Monthly Trend (Top 5 Citie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<sst xmlns="http://schemas.openxmlformats.org/spreadsheetml/2006/main" count="138" uniqueCount="89">
  <si>
    <t xml:space="preserve">India Air Quality Index (AQI) Report — March 2026</t>
  </si>
  <si>
    <t xml:space="preserve">City</t>
  </si>
  <si>
    <t xml:space="preserve">State</t>
  </si>
  <si>
    <t xml:space="preserve">AQI</t>
  </si>
  <si>
    <t xml:space="preserve">Category</t>
  </si>
  <si>
    <t xml:space="preserve">PM2.5 (µg/m³)</t>
  </si>
  <si>
    <t xml:space="preserve">PM10 (µg/m³)</t>
  </si>
  <si>
    <t xml:space="preserve">NO₂ (µg/m³)</t>
  </si>
  <si>
    <t xml:space="preserve">SO₂ (µg/m³)</t>
  </si>
  <si>
    <t xml:space="preserve">O₃ (µg/m³)</t>
  </si>
  <si>
    <t xml:space="preserve">Delhi</t>
  </si>
  <si>
    <t xml:space="preserve">Severe</t>
  </si>
  <si>
    <t xml:space="preserve">Mumbai</t>
  </si>
  <si>
    <t xml:space="preserve">Maharashtra</t>
  </si>
  <si>
    <t xml:space="preserve">Poor</t>
  </si>
  <si>
    <t xml:space="preserve">Kolkata</t>
  </si>
  <si>
    <t xml:space="preserve">West Bengal</t>
  </si>
  <si>
    <t xml:space="preserve">Very Poor</t>
  </si>
  <si>
    <t xml:space="preserve">Chennai</t>
  </si>
  <si>
    <t xml:space="preserve">Tamil Nadu</t>
  </si>
  <si>
    <t xml:space="preserve">Satisfactory</t>
  </si>
  <si>
    <t xml:space="preserve">Bengaluru</t>
  </si>
  <si>
    <t xml:space="preserve">Karnataka</t>
  </si>
  <si>
    <t xml:space="preserve">Hyderabad</t>
  </si>
  <si>
    <t xml:space="preserve">Telangana</t>
  </si>
  <si>
    <t xml:space="preserve">Moderate</t>
  </si>
  <si>
    <t xml:space="preserve">Ahmedabad</t>
  </si>
  <si>
    <t xml:space="preserve">Gujarat</t>
  </si>
  <si>
    <t xml:space="preserve">Pune</t>
  </si>
  <si>
    <t xml:space="preserve">Jaipur</t>
  </si>
  <si>
    <t xml:space="preserve">Rajasthan</t>
  </si>
  <si>
    <t xml:space="preserve">Lucknow</t>
  </si>
  <si>
    <t xml:space="preserve">Uttar Pradesh</t>
  </si>
  <si>
    <t xml:space="preserve">Kanpur</t>
  </si>
  <si>
    <t xml:space="preserve">Patna</t>
  </si>
  <si>
    <t xml:space="preserve">Bihar</t>
  </si>
  <si>
    <t xml:space="preserve">Varanasi</t>
  </si>
  <si>
    <t xml:space="preserve">Amritsar</t>
  </si>
  <si>
    <t xml:space="preserve">Punjab</t>
  </si>
  <si>
    <t xml:space="preserve">Chandigarh</t>
  </si>
  <si>
    <t xml:space="preserve">Bhopal</t>
  </si>
  <si>
    <t xml:space="preserve">Madhya Pradesh</t>
  </si>
  <si>
    <t xml:space="preserve">Nagpur</t>
  </si>
  <si>
    <t xml:space="preserve">Indore</t>
  </si>
  <si>
    <t xml:space="preserve">Surat</t>
  </si>
  <si>
    <t xml:space="preserve">Visakhapatnam</t>
  </si>
  <si>
    <t xml:space="preserve">Andhra Pradesh</t>
  </si>
  <si>
    <t xml:space="preserve">Coimbatore</t>
  </si>
  <si>
    <t xml:space="preserve">Kochi</t>
  </si>
  <si>
    <t xml:space="preserve">Kerala</t>
  </si>
  <si>
    <t xml:space="preserve">Good</t>
  </si>
  <si>
    <t xml:space="preserve">Thiruvanantapuram</t>
  </si>
  <si>
    <t xml:space="preserve">Shimla</t>
  </si>
  <si>
    <t xml:space="preserve">Himachal Pradesh</t>
  </si>
  <si>
    <t xml:space="preserve">Dehradun</t>
  </si>
  <si>
    <t xml:space="preserve">Uttarakhand</t>
  </si>
  <si>
    <t xml:space="preserve">Ranchi</t>
  </si>
  <si>
    <t xml:space="preserve">Jharkhand</t>
  </si>
  <si>
    <t xml:space="preserve">Guwahati</t>
  </si>
  <si>
    <t xml:space="preserve">Assam</t>
  </si>
  <si>
    <t xml:space="preserve">Bhubaneswar</t>
  </si>
  <si>
    <t xml:space="preserve">Odisha</t>
  </si>
  <si>
    <t xml:space="preserve">Jodhpur</t>
  </si>
  <si>
    <t xml:space="preserve">Agra</t>
  </si>
  <si>
    <t xml:space="preserve">Average AQI</t>
  </si>
  <si>
    <t xml:space="preserve">—</t>
  </si>
  <si>
    <t xml:space="preserve">AQI Categories — National Air Quality Index (India)</t>
  </si>
  <si>
    <t xml:space="preserve">AQI Range</t>
  </si>
  <si>
    <t xml:space="preserve">Health Implications</t>
  </si>
  <si>
    <t xml:space="preserve">0–50</t>
  </si>
  <si>
    <t xml:space="preserve">Minimal impact on health</t>
  </si>
  <si>
    <t xml:space="preserve">51–100</t>
  </si>
  <si>
    <t xml:space="preserve">Minor breathing discomfort for sensitive people</t>
  </si>
  <si>
    <t xml:space="preserve">101–200</t>
  </si>
  <si>
    <t xml:space="preserve">Breathing discomfort for people with lung/heart diseases</t>
  </si>
  <si>
    <t xml:space="preserve">201–300</t>
  </si>
  <si>
    <t xml:space="preserve">Breathing discomfort for most; serious for sensitive groups</t>
  </si>
  <si>
    <t xml:space="preserve">301–400</t>
  </si>
  <si>
    <t xml:space="preserve">Respiratory illness on prolonged exposure</t>
  </si>
  <si>
    <t xml:space="preserve">401–500</t>
  </si>
  <si>
    <t xml:space="preserve">Serious health effects even on light physical activity</t>
  </si>
  <si>
    <t xml:space="preserve">Monthly AQI Trend — Top 5 Most Polluted Cities (Oct 2025 – Mar 2026)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</si>
  <si>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</si>
  <si>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</si>
  <si>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</si>
  <si>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</si>
  <si>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</si>
  <si>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</si>
  <si>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6-Month Avg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</si>
</sst>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8" min="7" style="1" width="14"/>
    <col collapsed="false" customWidth="true" hidden="false" outlineLevel="0" max="9" min="9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true" outlineLevel="0" collapsed="false">
      <c r="A4" s="4" t="s">
        <v>10</v>
      </c>
      <c r="B4" s="4" t="s">
        <v>10</v>
      </c>
      <c r="C4" s="5" t="n">
        <v>312</v>
      </c>
      <c r="D4" s="6" t="s">
        <v>11</v>
      </c>
      <c r="E4" s="5" t="n">
        <v>189</v>
      </c>
      <c r="F4" s="5" t="n">
        <v>345</v>
      </c>
      <c r="G4" s="5" t="n">
        <v>89</v>
      </c>
      <c r="H4" s="5" t="n">
        <v>22</v>
      </c>
      <c r="I4" s="5" t="n">
        <v>41</v>
      </c>
    </row>
    <row r="5" customFormat="false" ht="15" hidden="false" customHeight="true" outlineLevel="0" collapsed="false">
      <c r="A5" s="7" t="s">
        <v>12</v>
      </c>
      <c r="B5" s="7" t="s">
        <v>13</v>
      </c>
      <c r="C5" s="8" t="n">
        <v>148</v>
      </c>
      <c r="D5" s="9" t="s">
        <v>14</v>
      </c>
      <c r="E5" s="8" t="n">
        <v>88</v>
      </c>
      <c r="F5" s="8" t="n">
        <v>162</v>
      </c>
      <c r="G5" s="8" t="n">
        <v>54</v>
      </c>
      <c r="H5" s="8" t="n">
        <v>18</v>
      </c>
      <c r="I5" s="8" t="n">
        <v>55</v>
      </c>
    </row>
    <row r="6" customFormat="false" ht="15" hidden="false" customHeight="true" outlineLevel="0" collapsed="false">
      <c r="A6" s="4" t="s">
        <v>15</v>
      </c>
      <c r="B6" s="4" t="s">
        <v>16</v>
      </c>
      <c r="C6" s="5" t="n">
        <v>201</v>
      </c>
      <c r="D6" s="10" t="s">
        <v>17</v>
      </c>
      <c r="E6" s="5" t="n">
        <v>124</v>
      </c>
      <c r="F6" s="5" t="n">
        <v>231</v>
      </c>
      <c r="G6" s="5" t="n">
        <v>71</v>
      </c>
      <c r="H6" s="5" t="n">
        <v>25</v>
      </c>
      <c r="I6" s="5" t="n">
        <v>38</v>
      </c>
    </row>
    <row r="7" customFormat="false" ht="15" hidden="false" customHeight="true" outlineLevel="0" collapsed="false">
      <c r="A7" s="7" t="s">
        <v>18</v>
      </c>
      <c r="B7" s="7" t="s">
        <v>19</v>
      </c>
      <c r="C7" s="8" t="n">
        <v>87</v>
      </c>
      <c r="D7" s="11" t="s">
        <v>20</v>
      </c>
      <c r="E7" s="8" t="n">
        <v>43</v>
      </c>
      <c r="F7" s="8" t="n">
        <v>98</v>
      </c>
      <c r="G7" s="8" t="n">
        <v>31</v>
      </c>
      <c r="H7" s="8" t="n">
        <v>12</v>
      </c>
      <c r="I7" s="8" t="n">
        <v>62</v>
      </c>
    </row>
    <row r="8" customFormat="false" ht="15" hidden="false" customHeight="true" outlineLevel="0" collapsed="false">
      <c r="A8" s="4" t="s">
        <v>21</v>
      </c>
      <c r="B8" s="4" t="s">
        <v>22</v>
      </c>
      <c r="C8" s="5" t="n">
        <v>78</v>
      </c>
      <c r="D8" s="11" t="s">
        <v>20</v>
      </c>
      <c r="E8" s="5" t="n">
        <v>36</v>
      </c>
      <c r="F8" s="5" t="n">
        <v>87</v>
      </c>
      <c r="G8" s="5" t="n">
        <v>28</v>
      </c>
      <c r="H8" s="5" t="n">
        <v>10</v>
      </c>
      <c r="I8" s="5" t="n">
        <v>68</v>
      </c>
    </row>
    <row r="9" customFormat="false" ht="15" hidden="false" customHeight="true" outlineLevel="0" collapsed="false">
      <c r="A9" s="7" t="s">
        <v>23</v>
      </c>
      <c r="B9" s="7" t="s">
        <v>24</v>
      </c>
      <c r="C9" s="8" t="n">
        <v>95</v>
      </c>
      <c r="D9" s="12" t="s">
        <v>25</v>
      </c>
      <c r="E9" s="8" t="n">
        <v>51</v>
      </c>
      <c r="F9" s="8" t="n">
        <v>108</v>
      </c>
      <c r="G9" s="8" t="n">
        <v>37</v>
      </c>
      <c r="H9" s="8" t="n">
        <v>14</v>
      </c>
      <c r="I9" s="8" t="n">
        <v>59</v>
      </c>
    </row>
    <row r="10" customFormat="false" ht="15" hidden="false" customHeight="true" outlineLevel="0" collapsed="false">
      <c r="A10" s="4" t="s">
        <v>26</v>
      </c>
      <c r="B10" s="4" t="s">
        <v>27</v>
      </c>
      <c r="C10" s="5" t="n">
        <v>176</v>
      </c>
      <c r="D10" s="9" t="s">
        <v>14</v>
      </c>
      <c r="E10" s="5" t="n">
        <v>104</v>
      </c>
      <c r="F10" s="5" t="n">
        <v>195</v>
      </c>
      <c r="G10" s="5" t="n">
        <v>62</v>
      </c>
      <c r="H10" s="5" t="n">
        <v>20</v>
      </c>
      <c r="I10" s="5" t="n">
        <v>47</v>
      </c>
    </row>
    <row r="11" customFormat="false" ht="15" hidden="false" customHeight="true" outlineLevel="0" collapsed="false">
      <c r="A11" s="7" t="s">
        <v>28</v>
      </c>
      <c r="B11" s="7" t="s">
        <v>13</v>
      </c>
      <c r="C11" s="8" t="n">
        <v>112</v>
      </c>
      <c r="D11" s="9" t="s">
        <v>14</v>
      </c>
      <c r="E11" s="8" t="n">
        <v>65</v>
      </c>
      <c r="F11" s="8" t="n">
        <v>134</v>
      </c>
      <c r="G11" s="8" t="n">
        <v>45</v>
      </c>
      <c r="H11" s="8" t="n">
        <v>16</v>
      </c>
      <c r="I11" s="8" t="n">
        <v>58</v>
      </c>
    </row>
    <row r="12" customFormat="false" ht="15" hidden="false" customHeight="true" outlineLevel="0" collapsed="false">
      <c r="A12" s="4" t="s">
        <v>29</v>
      </c>
      <c r="B12" s="4" t="s">
        <v>30</v>
      </c>
      <c r="C12" s="5" t="n">
        <v>189</v>
      </c>
      <c r="D12" s="9" t="s">
        <v>14</v>
      </c>
      <c r="E12" s="5" t="n">
        <v>116</v>
      </c>
      <c r="F12" s="5" t="n">
        <v>214</v>
      </c>
      <c r="G12" s="5" t="n">
        <v>68</v>
      </c>
      <c r="H12" s="5" t="n">
        <v>21</v>
      </c>
      <c r="I12" s="5" t="n">
        <v>44</v>
      </c>
    </row>
    <row r="13" customFormat="false" ht="15" hidden="false" customHeight="true" outlineLevel="0" collapsed="false">
      <c r="A13" s="7" t="s">
        <v>31</v>
      </c>
      <c r="B13" s="7" t="s">
        <v>32</v>
      </c>
      <c r="C13" s="8" t="n">
        <v>267</v>
      </c>
      <c r="D13" s="10" t="s">
        <v>17</v>
      </c>
      <c r="E13" s="8" t="n">
        <v>163</v>
      </c>
      <c r="F13" s="8" t="n">
        <v>298</v>
      </c>
      <c r="G13" s="8" t="n">
        <v>81</v>
      </c>
      <c r="H13" s="8" t="n">
        <v>28</v>
      </c>
      <c r="I13" s="8" t="n">
        <v>36</v>
      </c>
    </row>
    <row r="14" customFormat="false" ht="15" hidden="false" customHeight="true" outlineLevel="0" collapsed="false">
      <c r="A14" s="4" t="s">
        <v>33</v>
      </c>
      <c r="B14" s="4" t="s">
        <v>32</v>
      </c>
      <c r="C14" s="5" t="n">
        <v>298</v>
      </c>
      <c r="D14" s="10" t="s">
        <v>17</v>
      </c>
      <c r="E14" s="5" t="n">
        <v>181</v>
      </c>
      <c r="F14" s="5" t="n">
        <v>332</v>
      </c>
      <c r="G14" s="5" t="n">
        <v>86</v>
      </c>
      <c r="H14" s="5" t="n">
        <v>30</v>
      </c>
      <c r="I14" s="5" t="n">
        <v>33</v>
      </c>
    </row>
    <row r="15" customFormat="false" ht="15" hidden="false" customHeight="true" outlineLevel="0" collapsed="false">
      <c r="A15" s="7" t="s">
        <v>34</v>
      </c>
      <c r="B15" s="7" t="s">
        <v>35</v>
      </c>
      <c r="C15" s="8" t="n">
        <v>243</v>
      </c>
      <c r="D15" s="10" t="s">
        <v>17</v>
      </c>
      <c r="E15" s="8" t="n">
        <v>148</v>
      </c>
      <c r="F15" s="8" t="n">
        <v>274</v>
      </c>
      <c r="G15" s="8" t="n">
        <v>77</v>
      </c>
      <c r="H15" s="8" t="n">
        <v>26</v>
      </c>
      <c r="I15" s="8" t="n">
        <v>37</v>
      </c>
    </row>
    <row r="16" customFormat="false" ht="15" hidden="false" customHeight="true" outlineLevel="0" collapsed="false">
      <c r="A16" s="4" t="s">
        <v>36</v>
      </c>
      <c r="B16" s="4" t="s">
        <v>32</v>
      </c>
      <c r="C16" s="5" t="n">
        <v>225</v>
      </c>
      <c r="D16" s="10" t="s">
        <v>17</v>
      </c>
      <c r="E16" s="5" t="n">
        <v>136</v>
      </c>
      <c r="F16" s="5" t="n">
        <v>256</v>
      </c>
      <c r="G16" s="5" t="n">
        <v>74</v>
      </c>
      <c r="H16" s="5" t="n">
        <v>25</v>
      </c>
      <c r="I16" s="5" t="n">
        <v>39</v>
      </c>
    </row>
    <row r="17" customFormat="false" ht="15" hidden="false" customHeight="true" outlineLevel="0" collapsed="false">
      <c r="A17" s="7" t="s">
        <v>37</v>
      </c>
      <c r="B17" s="7" t="s">
        <v>38</v>
      </c>
      <c r="C17" s="8" t="n">
        <v>187</v>
      </c>
      <c r="D17" s="9" t="s">
        <v>14</v>
      </c>
      <c r="E17" s="8" t="n">
        <v>112</v>
      </c>
      <c r="F17" s="8" t="n">
        <v>209</v>
      </c>
      <c r="G17" s="8" t="n">
        <v>66</v>
      </c>
      <c r="H17" s="8" t="n">
        <v>20</v>
      </c>
      <c r="I17" s="8" t="n">
        <v>45</v>
      </c>
    </row>
    <row r="18" customFormat="false" ht="15" hidden="false" customHeight="true" outlineLevel="0" collapsed="false">
      <c r="A18" s="4" t="s">
        <v>39</v>
      </c>
      <c r="B18" s="4" t="s">
        <v>38</v>
      </c>
      <c r="C18" s="5" t="n">
        <v>134</v>
      </c>
      <c r="D18" s="9" t="s">
        <v>14</v>
      </c>
      <c r="E18" s="5" t="n">
        <v>79</v>
      </c>
      <c r="F18" s="5" t="n">
        <v>152</v>
      </c>
      <c r="G18" s="5" t="n">
        <v>50</v>
      </c>
      <c r="H18" s="5" t="n">
        <v>17</v>
      </c>
      <c r="I18" s="5" t="n">
        <v>54</v>
      </c>
    </row>
    <row r="19" customFormat="false" ht="15" hidden="false" customHeight="true" outlineLevel="0" collapsed="false">
      <c r="A19" s="7" t="s">
        <v>40</v>
      </c>
      <c r="B19" s="7" t="s">
        <v>41</v>
      </c>
      <c r="C19" s="8" t="n">
        <v>143</v>
      </c>
      <c r="D19" s="9" t="s">
        <v>14</v>
      </c>
      <c r="E19" s="8" t="n">
        <v>85</v>
      </c>
      <c r="F19" s="8" t="n">
        <v>165</v>
      </c>
      <c r="G19" s="8" t="n">
        <v>53</v>
      </c>
      <c r="H19" s="8" t="n">
        <v>18</v>
      </c>
      <c r="I19" s="8" t="n">
        <v>52</v>
      </c>
    </row>
    <row r="20" customFormat="false" ht="15" hidden="false" customHeight="true" outlineLevel="0" collapsed="false">
      <c r="A20" s="4" t="s">
        <v>42</v>
      </c>
      <c r="B20" s="4" t="s">
        <v>13</v>
      </c>
      <c r="C20" s="5" t="n">
        <v>121</v>
      </c>
      <c r="D20" s="9" t="s">
        <v>14</v>
      </c>
      <c r="E20" s="5" t="n">
        <v>71</v>
      </c>
      <c r="F20" s="5" t="n">
        <v>142</v>
      </c>
      <c r="G20" s="5" t="n">
        <v>48</v>
      </c>
      <c r="H20" s="5" t="n">
        <v>16</v>
      </c>
      <c r="I20" s="5" t="n">
        <v>56</v>
      </c>
    </row>
    <row r="21" customFormat="false" ht="15" hidden="false" customHeight="true" outlineLevel="0" collapsed="false">
      <c r="A21" s="7" t="s">
        <v>43</v>
      </c>
      <c r="B21" s="7" t="s">
        <v>41</v>
      </c>
      <c r="C21" s="8" t="n">
        <v>138</v>
      </c>
      <c r="D21" s="9" t="s">
        <v>14</v>
      </c>
      <c r="E21" s="8" t="n">
        <v>82</v>
      </c>
      <c r="F21" s="8" t="n">
        <v>159</v>
      </c>
      <c r="G21" s="8" t="n">
        <v>52</v>
      </c>
      <c r="H21" s="8" t="n">
        <v>17</v>
      </c>
      <c r="I21" s="8" t="n">
        <v>53</v>
      </c>
    </row>
    <row r="22" customFormat="false" ht="15" hidden="false" customHeight="true" outlineLevel="0" collapsed="false">
      <c r="A22" s="4" t="s">
        <v>44</v>
      </c>
      <c r="B22" s="4" t="s">
        <v>27</v>
      </c>
      <c r="C22" s="5" t="n">
        <v>158</v>
      </c>
      <c r="D22" s="9" t="s">
        <v>14</v>
      </c>
      <c r="E22" s="5" t="n">
        <v>94</v>
      </c>
      <c r="F22" s="5" t="n">
        <v>178</v>
      </c>
      <c r="G22" s="5" t="n">
        <v>57</v>
      </c>
      <c r="H22" s="5" t="n">
        <v>19</v>
      </c>
      <c r="I22" s="5" t="n">
        <v>49</v>
      </c>
    </row>
    <row r="23" customFormat="false" ht="15" hidden="false" customHeight="true" outlineLevel="0" collapsed="false">
      <c r="A23" s="7" t="s">
        <v>45</v>
      </c>
      <c r="B23" s="7" t="s">
        <v>46</v>
      </c>
      <c r="C23" s="8" t="n">
        <v>72</v>
      </c>
      <c r="D23" s="11" t="s">
        <v>20</v>
      </c>
      <c r="E23" s="8" t="n">
        <v>33</v>
      </c>
      <c r="F23" s="8" t="n">
        <v>82</v>
      </c>
      <c r="G23" s="8" t="n">
        <v>26</v>
      </c>
      <c r="H23" s="8" t="n">
        <v>9</v>
      </c>
      <c r="I23" s="8" t="n">
        <v>71</v>
      </c>
    </row>
    <row r="24" customFormat="false" ht="15" hidden="false" customHeight="true" outlineLevel="0" collapsed="false">
      <c r="A24" s="4" t="s">
        <v>47</v>
      </c>
      <c r="B24" s="4" t="s">
        <v>19</v>
      </c>
      <c r="C24" s="5" t="n">
        <v>64</v>
      </c>
      <c r="D24" s="11" t="s">
        <v>20</v>
      </c>
      <c r="E24" s="5" t="n">
        <v>28</v>
      </c>
      <c r="F24" s="5" t="n">
        <v>74</v>
      </c>
      <c r="G24" s="5" t="n">
        <v>23</v>
      </c>
      <c r="H24" s="5" t="n">
        <v>8</v>
      </c>
      <c r="I24" s="5" t="n">
        <v>74</v>
      </c>
    </row>
    <row r="25" customFormat="false" ht="15" hidden="false" customHeight="true" outlineLevel="0" collapsed="false">
      <c r="A25" s="7" t="s">
        <v>48</v>
      </c>
      <c r="B25" s="7" t="s">
        <v>49</v>
      </c>
      <c r="C25" s="8" t="n">
        <v>48</v>
      </c>
      <c r="D25" s="13" t="s">
        <v>50</v>
      </c>
      <c r="E25" s="8" t="n">
        <v>19</v>
      </c>
      <c r="F25" s="8" t="n">
        <v>57</v>
      </c>
      <c r="G25" s="8" t="n">
        <v>18</v>
      </c>
      <c r="H25" s="8" t="n">
        <v>7</v>
      </c>
      <c r="I25" s="8" t="n">
        <v>79</v>
      </c>
    </row>
    <row r="26" customFormat="false" ht="15" hidden="false" customHeight="true" outlineLevel="0" collapsed="false">
      <c r="A26" s="4" t="s">
        <v>51</v>
      </c>
      <c r="B26" s="4" t="s">
        <v>49</v>
      </c>
      <c r="C26" s="5" t="n">
        <v>42</v>
      </c>
      <c r="D26" s="13" t="s">
        <v>50</v>
      </c>
      <c r="E26" s="5" t="n">
        <v>16</v>
      </c>
      <c r="F26" s="5" t="n">
        <v>51</v>
      </c>
      <c r="G26" s="5" t="n">
        <v>15</v>
      </c>
      <c r="H26" s="5" t="n">
        <v>6</v>
      </c>
      <c r="I26" s="5" t="n">
        <v>82</v>
      </c>
    </row>
    <row r="27" customFormat="false" ht="15" hidden="false" customHeight="true" outlineLevel="0" collapsed="false">
      <c r="A27" s="7" t="s">
        <v>52</v>
      </c>
      <c r="B27" s="7" t="s">
        <v>53</v>
      </c>
      <c r="C27" s="8" t="n">
        <v>31</v>
      </c>
      <c r="D27" s="13" t="s">
        <v>50</v>
      </c>
      <c r="E27" s="8" t="n">
        <v>11</v>
      </c>
      <c r="F27" s="8" t="n">
        <v>38</v>
      </c>
      <c r="G27" s="8" t="n">
        <v>11</v>
      </c>
      <c r="H27" s="8" t="n">
        <v>5</v>
      </c>
      <c r="I27" s="8" t="n">
        <v>88</v>
      </c>
    </row>
    <row r="28" customFormat="false" ht="15" hidden="false" customHeight="true" outlineLevel="0" collapsed="false">
      <c r="A28" s="4" t="s">
        <v>54</v>
      </c>
      <c r="B28" s="4" t="s">
        <v>55</v>
      </c>
      <c r="C28" s="5" t="n">
        <v>102</v>
      </c>
      <c r="D28" s="12" t="s">
        <v>25</v>
      </c>
      <c r="E28" s="5" t="n">
        <v>58</v>
      </c>
      <c r="F28" s="5" t="n">
        <v>118</v>
      </c>
      <c r="G28" s="5" t="n">
        <v>40</v>
      </c>
      <c r="H28" s="5" t="n">
        <v>14</v>
      </c>
      <c r="I28" s="5" t="n">
        <v>61</v>
      </c>
    </row>
    <row r="29" customFormat="false" ht="15" hidden="false" customHeight="true" outlineLevel="0" collapsed="false">
      <c r="A29" s="7" t="s">
        <v>56</v>
      </c>
      <c r="B29" s="7" t="s">
        <v>57</v>
      </c>
      <c r="C29" s="8" t="n">
        <v>118</v>
      </c>
      <c r="D29" s="9" t="s">
        <v>14</v>
      </c>
      <c r="E29" s="8" t="n">
        <v>68</v>
      </c>
      <c r="F29" s="8" t="n">
        <v>138</v>
      </c>
      <c r="G29" s="8" t="n">
        <v>46</v>
      </c>
      <c r="H29" s="8" t="n">
        <v>16</v>
      </c>
      <c r="I29" s="8" t="n">
        <v>57</v>
      </c>
    </row>
    <row r="30" customFormat="false" ht="15" hidden="false" customHeight="true" outlineLevel="0" collapsed="false">
      <c r="A30" s="4" t="s">
        <v>58</v>
      </c>
      <c r="B30" s="4" t="s">
        <v>59</v>
      </c>
      <c r="C30" s="5" t="n">
        <v>96</v>
      </c>
      <c r="D30" s="12" t="s">
        <v>25</v>
      </c>
      <c r="E30" s="5" t="n">
        <v>53</v>
      </c>
      <c r="F30" s="5" t="n">
        <v>110</v>
      </c>
      <c r="G30" s="5" t="n">
        <v>38</v>
      </c>
      <c r="H30" s="5" t="n">
        <v>14</v>
      </c>
      <c r="I30" s="5" t="n">
        <v>60</v>
      </c>
    </row>
    <row r="31" customFormat="false" ht="15" hidden="false" customHeight="true" outlineLevel="0" collapsed="false">
      <c r="A31" s="7" t="s">
        <v>60</v>
      </c>
      <c r="B31" s="7" t="s">
        <v>61</v>
      </c>
      <c r="C31" s="8" t="n">
        <v>108</v>
      </c>
      <c r="D31" s="12" t="s">
        <v>25</v>
      </c>
      <c r="E31" s="8" t="n">
        <v>62</v>
      </c>
      <c r="F31" s="8" t="n">
        <v>128</v>
      </c>
      <c r="G31" s="8" t="n">
        <v>43</v>
      </c>
      <c r="H31" s="8" t="n">
        <v>15</v>
      </c>
      <c r="I31" s="8" t="n">
        <v>59</v>
      </c>
    </row>
    <row r="32" customFormat="false" ht="15" hidden="false" customHeight="true" outlineLevel="0" collapsed="false">
      <c r="A32" s="4" t="s">
        <v>62</v>
      </c>
      <c r="B32" s="4" t="s">
        <v>30</v>
      </c>
      <c r="C32" s="5" t="n">
        <v>163</v>
      </c>
      <c r="D32" s="9" t="s">
        <v>14</v>
      </c>
      <c r="E32" s="5" t="n">
        <v>97</v>
      </c>
      <c r="F32" s="5" t="n">
        <v>184</v>
      </c>
      <c r="G32" s="5" t="n">
        <v>59</v>
      </c>
      <c r="H32" s="5" t="n">
        <v>19</v>
      </c>
      <c r="I32" s="5" t="n">
        <v>48</v>
      </c>
    </row>
    <row r="33" customFormat="false" ht="18" hidden="false" customHeight="true" outlineLevel="0" collapsed="false">
      <c r="A33" s="7" t="s">
        <v>63</v>
      </c>
      <c r="B33" s="7" t="s">
        <v>32</v>
      </c>
      <c r="C33" s="8" t="n">
        <v>278</v>
      </c>
      <c r="D33" s="10" t="s">
        <v>17</v>
      </c>
      <c r="E33" s="8" t="n">
        <v>170</v>
      </c>
      <c r="F33" s="8" t="n">
        <v>312</v>
      </c>
      <c r="G33" s="8" t="n">
        <v>84</v>
      </c>
      <c r="H33" s="8" t="n">
        <v>29</v>
      </c>
      <c r="I33" s="8" t="n">
        <v>34</v>
      </c>
    </row>
    <row r="34" customFormat="false" ht="15" hidden="false" customHeight="true" outlineLevel="0" collapsed="false">
      <c r="A34" s="14" t="s">
        <v>64</v>
      </c>
      <c r="B34" s="14"/>
      <c r="C34" s="15" t="n">
        <f aca="false">AVERAGE(C4:C33)</f>
        <v>147.8</v>
      </c>
      <c r="D34" s="16" t="s">
        <v>65</v>
      </c>
      <c r="E34" s="15" t="n">
        <f aca="false">AVERAGE(E4:E33)</f>
        <v>86.0666666666667</v>
      </c>
      <c r="F34" s="15" t="n">
        <f aca="false">AVERAGE(F4:F33)</f>
        <v>167.7</v>
      </c>
      <c r="G34" s="15" t="n">
        <f aca="false">AVERAGE(G4:G33)</f>
        <v>51.0666666666667</v>
      </c>
      <c r="H34" s="15" t="n">
        <f aca="false">AVERAGE(H4:H33)</f>
        <v>17.2</v>
      </c>
      <c r="I34" s="15" t="n">
        <f aca="false">AVERAGE(I4:I33)</f>
        <v>54.6333333333333</v>
      </c>
    </row>
  </sheetData>
  <mergeCells count="2">
    <mergeCell ref="A1:I1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45"/>
  </cols>
  <sheetData>
    <row r="1" customFormat="false" ht="30" hidden="false" customHeight="true" outlineLevel="0" collapsed="false">
      <c r="A1" s="2" t="s">
        <v>66</v>
      </c>
      <c r="B1" s="2"/>
      <c r="C1" s="2"/>
    </row>
    <row r="3" customFormat="false" ht="24.75" hidden="false" customHeight="true" outlineLevel="0" collapsed="false">
      <c r="A3" s="17" t="s">
        <v>4</v>
      </c>
      <c r="B3" s="17" t="s">
        <v>67</v>
      </c>
      <c r="C3" s="17" t="s">
        <v>68</v>
      </c>
    </row>
    <row r="4" customFormat="false" ht="21.75" hidden="false" customHeight="true" outlineLevel="0" collapsed="false">
      <c r="A4" s="18" t="s">
        <v>50</v>
      </c>
      <c r="B4" s="19" t="s">
        <v>69</v>
      </c>
      <c r="C4" s="20" t="s">
        <v>70</v>
      </c>
    </row>
    <row r="5" customFormat="false" ht="21.75" hidden="false" customHeight="true" outlineLevel="0" collapsed="false">
      <c r="A5" s="21" t="s">
        <v>20</v>
      </c>
      <c r="B5" s="22" t="s">
        <v>71</v>
      </c>
      <c r="C5" s="23" t="s">
        <v>72</v>
      </c>
    </row>
    <row r="6" customFormat="false" ht="21.75" hidden="false" customHeight="true" outlineLevel="0" collapsed="false">
      <c r="A6" s="24" t="s">
        <v>25</v>
      </c>
      <c r="B6" s="25" t="s">
        <v>73</v>
      </c>
      <c r="C6" s="26" t="s">
        <v>74</v>
      </c>
    </row>
    <row r="7" customFormat="false" ht="21.75" hidden="false" customHeight="true" outlineLevel="0" collapsed="false">
      <c r="A7" s="27" t="s">
        <v>14</v>
      </c>
      <c r="B7" s="28" t="s">
        <v>75</v>
      </c>
      <c r="C7" s="29" t="s">
        <v>76</v>
      </c>
    </row>
    <row r="8" customFormat="false" ht="21.75" hidden="false" customHeight="true" outlineLevel="0" collapsed="false">
      <c r="A8" s="30" t="s">
        <v>17</v>
      </c>
      <c r="B8" s="31" t="s">
        <v>77</v>
      </c>
      <c r="C8" s="32" t="s">
        <v>78</v>
      </c>
    </row>
    <row r="9" customFormat="false" ht="21.75" hidden="false" customHeight="true" outlineLevel="0" collapsed="false">
      <c r="A9" s="33" t="s">
        <v>11</v>
      </c>
      <c r="B9" s="34" t="s">
        <v>79</v>
      </c>
      <c r="C9" s="35" t="s">
        <v>80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2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24.75" hidden="false" customHeight="true" outlineLevel="0" collapsed="false">
      <c r="A3" s="17" t="s">
        <v>1</v>
      </c>
      <c r="B3" s="17" t="s">
        <v>82</v>
      </c>
      <c r="C3" s="17" t="s">
        <v>83</v>
      </c>
      <c r="D3" s="17" t="s">
        <v>84</v>
      </c>
      <c r="E3" s="17" t="s">
        <v>85</v>
      </c>
      <c r="F3" s="17" t="s">
        <v>86</v>
      </c>
      <c r="G3" s="17" t="s">
        <v>87</v>
      </c>
      <c r="H3" s="17" t="s">
        <v>88</v>
      </c>
    </row>
    <row r="4" customFormat="false" ht="18" hidden="false" customHeight="true" outlineLevel="0" collapsed="false">
      <c r="A4" s="36" t="s">
        <v>10</v>
      </c>
      <c r="B4" s="5" t="n">
        <v>289</v>
      </c>
      <c r="C4" s="5" t="n">
        <v>356</v>
      </c>
      <c r="D4" s="5" t="n">
        <v>401</v>
      </c>
      <c r="E4" s="5" t="n">
        <v>378</v>
      </c>
      <c r="F4" s="5" t="n">
        <v>340</v>
      </c>
      <c r="G4" s="5" t="n">
        <v>312</v>
      </c>
    </row>
    <row r="5" customFormat="false" ht="18" hidden="false" customHeight="true" outlineLevel="0" collapsed="false">
      <c r="A5" s="37" t="s">
        <v>33</v>
      </c>
      <c r="B5" s="8" t="n">
        <v>261</v>
      </c>
      <c r="C5" s="8" t="n">
        <v>318</v>
      </c>
      <c r="D5" s="8" t="n">
        <v>365</v>
      </c>
      <c r="E5" s="8" t="n">
        <v>342</v>
      </c>
      <c r="F5" s="8" t="n">
        <v>315</v>
      </c>
      <c r="G5" s="8" t="n">
        <v>298</v>
      </c>
    </row>
    <row r="6" customFormat="false" ht="18" hidden="false" customHeight="true" outlineLevel="0" collapsed="false">
      <c r="A6" s="36" t="s">
        <v>63</v>
      </c>
      <c r="B6" s="5" t="n">
        <v>243</v>
      </c>
      <c r="C6" s="5" t="n">
        <v>299</v>
      </c>
      <c r="D6" s="5" t="n">
        <v>348</v>
      </c>
      <c r="E6" s="5" t="n">
        <v>321</v>
      </c>
      <c r="F6" s="5" t="n">
        <v>298</v>
      </c>
      <c r="G6" s="5" t="n">
        <v>278</v>
      </c>
    </row>
    <row r="7" customFormat="false" ht="18" hidden="false" customHeight="true" outlineLevel="0" collapsed="false">
      <c r="A7" s="37" t="s">
        <v>31</v>
      </c>
      <c r="B7" s="8" t="n">
        <v>228</v>
      </c>
      <c r="C7" s="8" t="n">
        <v>284</v>
      </c>
      <c r="D7" s="8" t="n">
        <v>331</v>
      </c>
      <c r="E7" s="8" t="n">
        <v>308</v>
      </c>
      <c r="F7" s="8" t="n">
        <v>285</v>
      </c>
      <c r="G7" s="8" t="n">
        <v>267</v>
      </c>
    </row>
    <row r="8" customFormat="false" ht="18" hidden="false" customHeight="true" outlineLevel="0" collapsed="false">
      <c r="A8" s="36" t="s">
        <v>15</v>
      </c>
      <c r="B8" s="5" t="n">
        <v>168</v>
      </c>
      <c r="C8" s="5" t="n">
        <v>224</v>
      </c>
      <c r="D8" s="5" t="n">
        <v>268</v>
      </c>
      <c r="E8" s="5" t="n">
        <v>245</v>
      </c>
      <c r="F8" s="5" t="n">
        <v>223</v>
      </c>
      <c r="G8" s="5" t="n">
        <v>201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2026-03-27T06:49:50Z</dcterms:created>
  <dc:creator>openpyxl</dc:creator>
  <dc:description/>
  <dc:language>en-US</dc:language>
  <cp:lastModifiedBy/>
  <dcterms:modified xsi:type="dcterms:W3CDTF">2026-03-27T06:50:06Z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